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tit_rikkei\it1_cntt1\session12\bai06\"/>
    </mc:Choice>
  </mc:AlternateContent>
  <xr:revisionPtr revIDLastSave="0" documentId="8_{A8E03A24-67C5-4989-A2E7-2A505348B51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nh sách nhà đất" sheetId="1" r:id="rId1"/>
    <sheet name="Bảng tra môi giới" sheetId="2" r:id="rId2"/>
    <sheet name="Tham số" sheetId="3" r:id="rId3"/>
  </sheets>
  <definedNames>
    <definedName name="_xlnm._FilterDatabase" localSheetId="0" hidden="1">'Danh sách nhà đất'!$A$1:$L$7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" l="1"/>
  <c r="L7" i="1" s="1"/>
  <c r="J7" i="1"/>
  <c r="G7" i="1"/>
  <c r="H7" i="1" s="1"/>
  <c r="K6" i="1"/>
  <c r="L6" i="1" s="1"/>
  <c r="J6" i="1"/>
  <c r="G6" i="1"/>
  <c r="H6" i="1" s="1"/>
  <c r="K5" i="1"/>
  <c r="L5" i="1" s="1"/>
  <c r="J5" i="1"/>
  <c r="G5" i="1"/>
  <c r="H5" i="1" s="1"/>
  <c r="K4" i="1"/>
  <c r="L4" i="1" s="1"/>
  <c r="J4" i="1"/>
  <c r="G4" i="1"/>
  <c r="H4" i="1" s="1"/>
  <c r="K3" i="1"/>
  <c r="L3" i="1" s="1"/>
  <c r="J3" i="1"/>
  <c r="G3" i="1"/>
  <c r="H3" i="1" s="1"/>
  <c r="K2" i="1"/>
  <c r="L2" i="1" s="1"/>
  <c r="J2" i="1"/>
  <c r="G2" i="1"/>
  <c r="H2" i="1" s="1"/>
</calcChain>
</file>

<file path=xl/sharedStrings.xml><?xml version="1.0" encoding="utf-8"?>
<sst xmlns="http://schemas.openxmlformats.org/spreadsheetml/2006/main" count="51" uniqueCount="39">
  <si>
    <t>STT</t>
  </si>
  <si>
    <t>Mã BĐS</t>
  </si>
  <si>
    <t>Tên BĐS</t>
  </si>
  <si>
    <t>Loại BĐS</t>
  </si>
  <si>
    <t>Giá bán (VNĐ)</t>
  </si>
  <si>
    <t>Chiết khấu (%)</t>
  </si>
  <si>
    <t>Giá sau chiết khấu (VNĐ)</t>
  </si>
  <si>
    <t>Giá thuê mỗi tháng (VNĐ)</t>
  </si>
  <si>
    <t>Mã MG</t>
  </si>
  <si>
    <t>Môi giới</t>
  </si>
  <si>
    <t>Tỷ lệ hoa hồng</t>
  </si>
  <si>
    <t>Hoa hồng (VNĐ)</t>
  </si>
  <si>
    <t>SH001</t>
  </si>
  <si>
    <t>Villa Riverside</t>
  </si>
  <si>
    <t>Biệt thự</t>
  </si>
  <si>
    <t>MG01</t>
  </si>
  <si>
    <t>SH002</t>
  </si>
  <si>
    <t>Sunrise Apartment</t>
  </si>
  <si>
    <t>Căn hộ</t>
  </si>
  <si>
    <t>MG02</t>
  </si>
  <si>
    <t>SH003</t>
  </si>
  <si>
    <t>Green Park House</t>
  </si>
  <si>
    <t>Nhà phố</t>
  </si>
  <si>
    <t>MG03</t>
  </si>
  <si>
    <t>SH004</t>
  </si>
  <si>
    <t>Skyline Apartment</t>
  </si>
  <si>
    <t>SH005</t>
  </si>
  <si>
    <t>Ocean View Villa</t>
  </si>
  <si>
    <t>SH006</t>
  </si>
  <si>
    <t>Central House</t>
  </si>
  <si>
    <t>MG04</t>
  </si>
  <si>
    <t>Nguyễn An</t>
  </si>
  <si>
    <t>Trần Minh</t>
  </si>
  <si>
    <t>Lê Hằng</t>
  </si>
  <si>
    <t>Phạm Nam</t>
  </si>
  <si>
    <t>Tên tham số</t>
  </si>
  <si>
    <t>Giá trị</t>
  </si>
  <si>
    <t>Giá thuê mỗi tháng (% giá sau chiết khấu)</t>
  </si>
  <si>
    <t>Ghi chú: 0,4% mỗi tháng là giá trị giả định, thay bằng số thực nếu có. Hoa hồng tính trên giá bán. Chữ xanh là dữ liệu nhập, chữ đen là công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</si>
</sst>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7B34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9" fontId="3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0" customWidth="1"/>
    <col min="3" max="3" width="22" customWidth="1"/>
    <col min="4" max="4" width="12" customWidth="1"/>
    <col min="5" max="5" width="20" customWidth="1"/>
    <col min="6" max="6" width="12" customWidth="1"/>
    <col min="7" max="8" width="22" customWidth="1"/>
    <col min="9" max="9" width="9" customWidth="1"/>
    <col min="10" max="10" width="14" customWidth="1"/>
    <col min="11" max="11" width="12" customWidth="1"/>
    <col min="12" max="12" width="18" customWidth="1"/>
  </cols>
  <sheetData>
    <row r="1" spans="1:12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4" t="s">
        <v>13</v>
      </c>
      <c r="D2" s="4" t="s">
        <v>14</v>
      </c>
      <c r="E2" s="5">
        <v>15000000000</v>
      </c>
      <c r="F2" s="6">
        <v>0.05</v>
      </c>
      <c r="G2" s="7">
        <f t="shared" ref="G2:G7" si="0">E2*(1-F2)</f>
        <v>14250000000</v>
      </c>
      <c r="H2" s="7">
        <f>G2*'Tham số'!$B$2</f>
        <v>57000000</v>
      </c>
      <c r="I2" s="3" t="s">
        <v>15</v>
      </c>
      <c r="J2" s="8" t="str">
        <f>VLOOKUP(I2,'Bảng tra môi giới'!$A$2:$C$5,2,FALSE())</f>
        <v>Nguyễn An</v>
      </c>
      <c r="K2" s="9">
        <f>VLOOKUP(I2,'Bảng tra môi giới'!$A$2:$C$5,3,FALSE())</f>
        <v>0.02</v>
      </c>
      <c r="L2" s="7">
        <f t="shared" ref="L2:L7" si="1">E2*K2</f>
        <v>300000000</v>
      </c>
    </row>
    <row r="3" spans="1:12" x14ac:dyDescent="0.3">
      <c r="A3" s="2">
        <v>2</v>
      </c>
      <c r="B3" s="3" t="s">
        <v>16</v>
      </c>
      <c r="C3" s="4" t="s">
        <v>17</v>
      </c>
      <c r="D3" s="4" t="s">
        <v>18</v>
      </c>
      <c r="E3" s="5">
        <v>3200000000</v>
      </c>
      <c r="F3" s="6">
        <v>0</v>
      </c>
      <c r="G3" s="7">
        <f t="shared" si="0"/>
        <v>3200000000</v>
      </c>
      <c r="H3" s="7">
        <f>G3*'Tham số'!$B$2</f>
        <v>12800000</v>
      </c>
      <c r="I3" s="3" t="s">
        <v>19</v>
      </c>
      <c r="J3" s="8" t="str">
        <f>VLOOKUP(I3,'Bảng tra môi giới'!$A$2:$C$5,2,FALSE())</f>
        <v>Trần Minh</v>
      </c>
      <c r="K3" s="9">
        <f>VLOOKUP(I3,'Bảng tra môi giới'!$A$2:$C$5,3,FALSE())</f>
        <v>1.4999999999999999E-2</v>
      </c>
      <c r="L3" s="7">
        <f t="shared" si="1"/>
        <v>48000000</v>
      </c>
    </row>
    <row r="4" spans="1:12" x14ac:dyDescent="0.3">
      <c r="A4" s="2">
        <v>3</v>
      </c>
      <c r="B4" s="3" t="s">
        <v>20</v>
      </c>
      <c r="C4" s="4" t="s">
        <v>21</v>
      </c>
      <c r="D4" s="4" t="s">
        <v>22</v>
      </c>
      <c r="E4" s="5">
        <v>6800000000</v>
      </c>
      <c r="F4" s="6">
        <v>0.03</v>
      </c>
      <c r="G4" s="7">
        <f t="shared" si="0"/>
        <v>6596000000</v>
      </c>
      <c r="H4" s="7">
        <f>G4*'Tham số'!$B$2</f>
        <v>26384000</v>
      </c>
      <c r="I4" s="3" t="s">
        <v>23</v>
      </c>
      <c r="J4" s="8" t="str">
        <f>VLOOKUP(I4,'Bảng tra môi giới'!$A$2:$C$5,2,FALSE())</f>
        <v>Lê Hằng</v>
      </c>
      <c r="K4" s="9">
        <f>VLOOKUP(I4,'Bảng tra môi giới'!$A$2:$C$5,3,FALSE())</f>
        <v>1.7999999999999999E-2</v>
      </c>
      <c r="L4" s="7">
        <f t="shared" si="1"/>
        <v>122399999.99999999</v>
      </c>
    </row>
    <row r="5" spans="1:12" x14ac:dyDescent="0.3">
      <c r="A5" s="2">
        <v>4</v>
      </c>
      <c r="B5" s="3" t="s">
        <v>24</v>
      </c>
      <c r="C5" s="4" t="s">
        <v>25</v>
      </c>
      <c r="D5" s="4" t="s">
        <v>18</v>
      </c>
      <c r="E5" s="5">
        <v>2650000000</v>
      </c>
      <c r="F5" s="6">
        <v>0</v>
      </c>
      <c r="G5" s="7">
        <f t="shared" si="0"/>
        <v>2650000000</v>
      </c>
      <c r="H5" s="7">
        <f>G5*'Tham số'!$B$2</f>
        <v>10600000</v>
      </c>
      <c r="I5" s="3" t="s">
        <v>19</v>
      </c>
      <c r="J5" s="8" t="str">
        <f>VLOOKUP(I5,'Bảng tra môi giới'!$A$2:$C$5,2,FALSE())</f>
        <v>Trần Minh</v>
      </c>
      <c r="K5" s="9">
        <f>VLOOKUP(I5,'Bảng tra môi giới'!$A$2:$C$5,3,FALSE())</f>
        <v>1.4999999999999999E-2</v>
      </c>
      <c r="L5" s="7">
        <f t="shared" si="1"/>
        <v>39750000</v>
      </c>
    </row>
    <row r="6" spans="1:12" x14ac:dyDescent="0.3">
      <c r="A6" s="2">
        <v>5</v>
      </c>
      <c r="B6" s="3" t="s">
        <v>26</v>
      </c>
      <c r="C6" s="4" t="s">
        <v>27</v>
      </c>
      <c r="D6" s="4" t="s">
        <v>14</v>
      </c>
      <c r="E6" s="5">
        <v>18500000000</v>
      </c>
      <c r="F6" s="6">
        <v>0.05</v>
      </c>
      <c r="G6" s="7">
        <f t="shared" si="0"/>
        <v>17575000000</v>
      </c>
      <c r="H6" s="7">
        <f>G6*'Tham số'!$B$2</f>
        <v>70300000</v>
      </c>
      <c r="I6" s="3" t="s">
        <v>15</v>
      </c>
      <c r="J6" s="8" t="str">
        <f>VLOOKUP(I6,'Bảng tra môi giới'!$A$2:$C$5,2,FALSE())</f>
        <v>Nguyễn An</v>
      </c>
      <c r="K6" s="9">
        <f>VLOOKUP(I6,'Bảng tra môi giới'!$A$2:$C$5,3,FALSE())</f>
        <v>0.02</v>
      </c>
      <c r="L6" s="7">
        <f t="shared" si="1"/>
        <v>370000000</v>
      </c>
    </row>
    <row r="7" spans="1:12" x14ac:dyDescent="0.3">
      <c r="A7" s="2">
        <v>6</v>
      </c>
      <c r="B7" s="3" t="s">
        <v>28</v>
      </c>
      <c r="C7" s="4" t="s">
        <v>29</v>
      </c>
      <c r="D7" s="4" t="s">
        <v>22</v>
      </c>
      <c r="E7" s="5">
        <v>5200000000</v>
      </c>
      <c r="F7" s="6">
        <v>0.02</v>
      </c>
      <c r="G7" s="7">
        <f t="shared" si="0"/>
        <v>5096000000</v>
      </c>
      <c r="H7" s="7">
        <f>G7*'Tham số'!$B$2</f>
        <v>20384000</v>
      </c>
      <c r="I7" s="3" t="s">
        <v>30</v>
      </c>
      <c r="J7" s="8" t="str">
        <f>VLOOKUP(I7,'Bảng tra môi giới'!$A$2:$C$5,2,FALSE())</f>
        <v>Phạm Nam</v>
      </c>
      <c r="K7" s="9">
        <f>VLOOKUP(I7,'Bảng tra môi giới'!$A$2:$C$5,3,FALSE())</f>
        <v>1.6E-2</v>
      </c>
      <c r="L7" s="7">
        <f t="shared" si="1"/>
        <v>83200000</v>
      </c>
    </row>
  </sheetData>
  <autoFilter ref="A1:L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18" customWidth="1"/>
    <col min="3" max="3" width="16" customWidth="1"/>
  </cols>
  <sheetData>
    <row r="1" spans="1:3" ht="33.75" customHeight="1" x14ac:dyDescent="0.3">
      <c r="A1" s="1" t="s">
        <v>8</v>
      </c>
      <c r="B1" s="1" t="s">
        <v>9</v>
      </c>
      <c r="C1" s="1" t="s">
        <v>10</v>
      </c>
    </row>
    <row r="2" spans="1:3" x14ac:dyDescent="0.3">
      <c r="A2" s="4" t="s">
        <v>15</v>
      </c>
      <c r="B2" s="4" t="s">
        <v>31</v>
      </c>
      <c r="C2" s="10">
        <v>0.02</v>
      </c>
    </row>
    <row r="3" spans="1:3" x14ac:dyDescent="0.3">
      <c r="A3" s="4" t="s">
        <v>19</v>
      </c>
      <c r="B3" s="4" t="s">
        <v>32</v>
      </c>
      <c r="C3" s="10">
        <v>1.4999999999999999E-2</v>
      </c>
    </row>
    <row r="4" spans="1:3" x14ac:dyDescent="0.3">
      <c r="A4" s="4" t="s">
        <v>23</v>
      </c>
      <c r="B4" s="4" t="s">
        <v>33</v>
      </c>
      <c r="C4" s="10">
        <v>1.7999999999999999E-2</v>
      </c>
    </row>
    <row r="5" spans="1:3" x14ac:dyDescent="0.3">
      <c r="A5" s="4" t="s">
        <v>30</v>
      </c>
      <c r="B5" s="4" t="s">
        <v>34</v>
      </c>
      <c r="C5" s="10">
        <v>1.6E-2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workbookViewId="0"/>
  </sheetViews>
  <sheetFormatPr defaultColWidth="8.6640625" defaultRowHeight="14.4" x14ac:dyDescent="0.3"/>
  <cols>
    <col min="1" max="1" width="46" customWidth="1"/>
    <col min="2" max="2" width="12" customWidth="1"/>
  </cols>
  <sheetData>
    <row r="1" spans="1:2" ht="33.75" customHeight="1" x14ac:dyDescent="0.3">
      <c r="A1" s="1" t="s">
        <v>35</v>
      </c>
      <c r="B1" s="1" t="s">
        <v>36</v>
      </c>
    </row>
    <row r="2" spans="1:2" x14ac:dyDescent="0.3">
      <c r="A2" s="11" t="s">
        <v>37</v>
      </c>
      <c r="B2" s="12">
        <v>4.0000000000000001E-3</v>
      </c>
    </row>
    <row r="4" spans="1:2" x14ac:dyDescent="0.3">
      <c r="A4" s="13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nhà đất</vt:lpstr>
      <vt:lpstr>Bảng tra môi giới</vt:lpstr>
      <vt:lpstr>Tham số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nghị lâm</cp:lastModifiedBy>
  <cp:revision>0</cp:revision>
  <dcterms:created xsi:type="dcterms:W3CDTF">2026-10-26T11:56:33Z</dcterms:created>
  <dcterms:modified xsi:type="dcterms:W3CDTF">2026-10-26T12:05:25Z</dcterms:modified>
  <dc:language>en-US</dc:language>
</cp:coreProperties>
</file>